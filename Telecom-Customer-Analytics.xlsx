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tim\Desktop\العائلة\حاسب\data anlysis\"/>
    </mc:Choice>
  </mc:AlternateContent>
  <xr:revisionPtr revIDLastSave="0" documentId="13_ncr:1_{9F842809-BDBF-443D-B239-F30C932915B4}" xr6:coauthVersionLast="47" xr6:coauthVersionMax="47" xr10:uidLastSave="{00000000-0000-0000-0000-000000000000}"/>
  <bookViews>
    <workbookView xWindow="-120" yWindow="-120" windowWidth="20730" windowHeight="11160" activeTab="2" xr2:uid="{C0A0CA8A-6B78-4D47-89E6-3AE27BBE3282}"/>
  </bookViews>
  <sheets>
    <sheet name="projcet" sheetId="1" r:id="rId1"/>
    <sheet name="Sheet3" sheetId="4" state="hidden" r:id="rId2"/>
    <sheet name="dasbord" sheetId="2" r:id="rId3"/>
  </sheets>
  <definedNames>
    <definedName name="_xlnm._FilterDatabase" localSheetId="0" hidden="1">projcet!$A$4:$E$20</definedName>
    <definedName name="consumption">projcet!$D$6:$D$20</definedName>
    <definedName name="value">projcet!$E$6:$E$20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0" i="4" l="1"/>
  <c r="B9" i="4"/>
  <c r="B8" i="4"/>
  <c r="B11" i="4"/>
  <c r="B7" i="4"/>
  <c r="A2" i="4"/>
  <c r="A7" i="4" a="1"/>
  <c r="A7" i="4" s="1"/>
  <c r="A4" i="4"/>
  <c r="A3" i="4"/>
  <c r="E22" i="1"/>
  <c r="E26" i="1"/>
  <c r="E25" i="1"/>
  <c r="E24" i="1"/>
  <c r="E2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<sst xmlns="http://schemas.openxmlformats.org/spreadsheetml/2006/main" count="54" uniqueCount="25">
  <si>
    <t xml:space="preserve">تحليل بيانات عملاء شركة الاتصالات </t>
  </si>
  <si>
    <t xml:space="preserve">رقم العميل </t>
  </si>
  <si>
    <t>المدينة</t>
  </si>
  <si>
    <t xml:space="preserve">نوع الباقة </t>
  </si>
  <si>
    <t>استهلاك الإنترنت (GB)</t>
  </si>
  <si>
    <t xml:space="preserve">قيمة الفاتورة </t>
  </si>
  <si>
    <t>الرياض</t>
  </si>
  <si>
    <t>أساسية</t>
  </si>
  <si>
    <t>جدة</t>
  </si>
  <si>
    <t>مميزة</t>
  </si>
  <si>
    <t>الدمام</t>
  </si>
  <si>
    <t>غير محدودة</t>
  </si>
  <si>
    <t>مكة</t>
  </si>
  <si>
    <t>عدد العملاء</t>
  </si>
  <si>
    <t xml:space="preserve">متوسط قيمة الفاتورة </t>
  </si>
  <si>
    <t xml:space="preserve">أعلى استهلاك للإنترنت </t>
  </si>
  <si>
    <t xml:space="preserve">أقل استهلاك للإنترنت </t>
  </si>
  <si>
    <t>إجمالي استهلاك الإنترنت</t>
  </si>
  <si>
    <t>استخلاص النتائج</t>
  </si>
  <si>
    <t xml:space="preserve">ما اكثر باقة مستخدمة </t>
  </si>
  <si>
    <t>من صاحب اعلى استهلاك</t>
  </si>
  <si>
    <t xml:space="preserve">كم متوسط الفاتورة </t>
  </si>
  <si>
    <t xml:space="preserve">أي مدينة لديها اكبر عدد من العملاء </t>
  </si>
  <si>
    <t xml:space="preserve">حساب توزيع الباقات </t>
  </si>
  <si>
    <t xml:space="preserve">حساب المدينة لتي لديها اكبر عدد من العملاء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</si>
</sst>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£&quot;* #,##0.00_-;\-&quot;£&quot;* #,##0.00_-;_-&quot;£&quot;* &quot;-&quot;??_-;_-@_-"/>
    <numFmt numFmtId="164" formatCode="_-* #,##0.00\ [$ر.س.‏-401]_-;\-* #,##0.00\ [$ر.س.‏-401]_-;_-* &quot;-&quot;??\ [$ر.س.‏-401]_-;_-@_-"/>
    <numFmt numFmtId="166" formatCode="_-* #,##0\ [$ر.س.‏-401]_-;\-* #,##0\ [$ر.س.‏-401]_-;_-* &quot;-&quot;??\ [$ر.س.‏-401]_-;_-@_-"/>
    <numFmt numFmtId="168" formatCode="_-* #,##0_-;\-* #,##0_-;_-* &quot;-&quot;??_-;_-@_-"/>
  </numFmts>
  <fonts count="9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u/>
      <sz val="14"/>
      <color theme="1"/>
      <name val="Arial"/>
      <family val="2"/>
      <scheme val="minor"/>
    </font>
    <font>
      <u/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sz val="14"/>
      <color rgb="FFFF0000"/>
      <name val="Arial"/>
      <family val="2"/>
      <scheme val="minor"/>
    </font>
    <font>
      <sz val="11"/>
      <color theme="5" tint="-0.249977111117893"/>
      <name val="Arial"/>
      <family val="2"/>
      <scheme val="minor"/>
    </font>
    <font>
      <sz val="28"/>
      <color theme="5" tint="-0.249977111117893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 readingOrder="2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6" fontId="0" fillId="0" borderId="1" xfId="1" applyNumberFormat="1" applyFont="1" applyBorder="1"/>
    <xf numFmtId="168" fontId="0" fillId="0" borderId="1" xfId="1" applyNumberFormat="1" applyFont="1" applyBorder="1"/>
    <xf numFmtId="0" fontId="0" fillId="0" borderId="2" xfId="0" applyBorder="1"/>
    <xf numFmtId="0" fontId="0" fillId="0" borderId="4" xfId="0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5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166" fontId="0" fillId="0" borderId="2" xfId="1" applyNumberFormat="1" applyFont="1" applyBorder="1"/>
    <xf numFmtId="166" fontId="0" fillId="0" borderId="4" xfId="1" applyNumberFormat="1" applyFont="1" applyBorder="1"/>
    <xf numFmtId="0" fontId="0" fillId="0" borderId="5" xfId="0" applyBorder="1" applyAlignment="1">
      <alignment horizontal="center"/>
    </xf>
    <xf numFmtId="0" fontId="0" fillId="0" borderId="0" xfId="0" applyAlignment="1">
      <alignment horizontal="center" wrapText="1"/>
    </xf>
    <xf numFmtId="0" fontId="7" fillId="0" borderId="0" xfId="0" applyFont="1"/>
    <xf numFmtId="0" fontId="8" fillId="3" borderId="0" xfId="0" applyFont="1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استهلاك</c:v>
          </c:tx>
          <c:spPr>
            <a:solidFill>
              <a:schemeClr val="accent2">
                <a:lumMod val="75000"/>
              </a:schemeClr>
            </a:solidFill>
            <a:ln w="9525">
              <a:solidFill>
                <a:schemeClr val="accent2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numRef>
              <c:f>projcet!$A$6:$A$20</c:f>
              <c:numCache>
                <c:formatCode>General</c:formatCode>
                <c:ptCount val="2"/>
                <c:pt idx="0">
                  <c:v>1013</c:v>
                </c:pt>
                <c:pt idx="1">
                  <c:v>1005</c:v>
                </c:pt>
              </c:numCache>
            </c:numRef>
          </c:cat>
          <c:val>
            <c:numRef>
              <c:f>projcet!$D$6:$D$20</c:f>
              <c:numCache>
                <c:formatCode>General</c:formatCode>
                <c:ptCount val="2"/>
                <c:pt idx="0">
                  <c:v>110</c:v>
                </c:pt>
                <c:pt idx="1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72-4ADA-8DA4-C9939DC21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7873776"/>
        <c:axId val="587545856"/>
      </c:barChart>
      <c:catAx>
        <c:axId val="96787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587545856"/>
        <c:crosses val="autoZero"/>
        <c:auto val="1"/>
        <c:lblAlgn val="ctr"/>
        <c:lblOffset val="100"/>
        <c:noMultiLvlLbl val="0"/>
      </c:catAx>
      <c:valAx>
        <c:axId val="58754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96787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11423548368156"/>
          <c:y val="7.3059334462541092E-2"/>
          <c:w val="0.83940680592068784"/>
          <c:h val="0.75030462362757577"/>
        </c:manualLayout>
      </c:layout>
      <c:barChart>
        <c:barDir val="col"/>
        <c:grouping val="clustered"/>
        <c:varyColors val="0"/>
        <c:ser>
          <c:idx val="0"/>
          <c:order val="0"/>
          <c:tx>
            <c:v>استهلاك</c:v>
          </c:tx>
          <c:spPr>
            <a:solidFill>
              <a:schemeClr val="accent2">
                <a:lumMod val="75000"/>
              </a:schemeClr>
            </a:solidFill>
            <a:ln w="9525">
              <a:solidFill>
                <a:schemeClr val="accent2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numRef>
              <c:f>projcet!$A$6:$A$20</c:f>
              <c:numCache>
                <c:formatCode>General</c:formatCode>
                <c:ptCount val="15"/>
                <c:pt idx="0">
                  <c:v>1001</c:v>
                </c:pt>
                <c:pt idx="1">
                  <c:v>1002</c:v>
                </c:pt>
                <c:pt idx="2">
                  <c:v>1003</c:v>
                </c:pt>
                <c:pt idx="3">
                  <c:v>1004</c:v>
                </c:pt>
                <c:pt idx="4">
                  <c:v>1013</c:v>
                </c:pt>
                <c:pt idx="5">
                  <c:v>1006</c:v>
                </c:pt>
                <c:pt idx="6">
                  <c:v>1007</c:v>
                </c:pt>
                <c:pt idx="7">
                  <c:v>1008</c:v>
                </c:pt>
                <c:pt idx="8">
                  <c:v>1009</c:v>
                </c:pt>
                <c:pt idx="9">
                  <c:v>1010</c:v>
                </c:pt>
                <c:pt idx="10">
                  <c:v>1011</c:v>
                </c:pt>
                <c:pt idx="11">
                  <c:v>1012</c:v>
                </c:pt>
                <c:pt idx="12">
                  <c:v>1005</c:v>
                </c:pt>
                <c:pt idx="13">
                  <c:v>1014</c:v>
                </c:pt>
                <c:pt idx="14">
                  <c:v>1015</c:v>
                </c:pt>
              </c:numCache>
            </c:numRef>
          </c:cat>
          <c:val>
            <c:numRef>
              <c:f>projcet!$D$6:$D$20</c:f>
              <c:numCache>
                <c:formatCode>General</c:formatCode>
                <c:ptCount val="15"/>
                <c:pt idx="0">
                  <c:v>45</c:v>
                </c:pt>
                <c:pt idx="1">
                  <c:v>90</c:v>
                </c:pt>
                <c:pt idx="2">
                  <c:v>35</c:v>
                </c:pt>
                <c:pt idx="3">
                  <c:v>180</c:v>
                </c:pt>
                <c:pt idx="4">
                  <c:v>110</c:v>
                </c:pt>
                <c:pt idx="5">
                  <c:v>40</c:v>
                </c:pt>
                <c:pt idx="6">
                  <c:v>200</c:v>
                </c:pt>
                <c:pt idx="7">
                  <c:v>95</c:v>
                </c:pt>
                <c:pt idx="8">
                  <c:v>30</c:v>
                </c:pt>
                <c:pt idx="9">
                  <c:v>100</c:v>
                </c:pt>
                <c:pt idx="10">
                  <c:v>175</c:v>
                </c:pt>
                <c:pt idx="11">
                  <c:v>50</c:v>
                </c:pt>
                <c:pt idx="12">
                  <c:v>85</c:v>
                </c:pt>
                <c:pt idx="13">
                  <c:v>210</c:v>
                </c:pt>
                <c:pt idx="14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7A-4842-9FF2-E8B99D4E1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7873776"/>
        <c:axId val="587545856"/>
      </c:barChart>
      <c:catAx>
        <c:axId val="967873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r-SA"/>
                  <a:t>رقم</a:t>
                </a:r>
                <a:r>
                  <a:rPr lang="ar-SA" baseline="0"/>
                  <a:t> العميل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587545856"/>
        <c:crosses val="autoZero"/>
        <c:auto val="1"/>
        <c:lblAlgn val="ctr"/>
        <c:lblOffset val="100"/>
        <c:noMultiLvlLbl val="0"/>
      </c:catAx>
      <c:valAx>
        <c:axId val="58754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r-SA"/>
                  <a:t>استهلاك</a:t>
                </a:r>
                <a:r>
                  <a:rPr lang="ar-SA" baseline="0"/>
                  <a:t> الانترنت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967873776"/>
        <c:crosses val="autoZero"/>
        <c:crossBetween val="between"/>
      </c:valAx>
      <c:spPr>
        <a:noFill/>
        <a:ln w="25400"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2">
          <a:lumMod val="60000"/>
          <a:lumOff val="40000"/>
          <a:alpha val="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lotArea>
      <c:layout/>
      <c:pieChart>
        <c:varyColors val="1"/>
        <c:ser>
          <c:idx val="0"/>
          <c:order val="0"/>
          <c:tx>
            <c:v>توزيع الباقات</c:v>
          </c:tx>
          <c:dPt>
            <c:idx val="0"/>
            <c:bubble3D val="0"/>
            <c:spPr>
              <a:solidFill>
                <a:schemeClr val="accent2">
                  <a:tint val="6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D2B-4853-958D-343CF5172A3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D2B-4853-958D-343CF5172A36}"/>
              </c:ext>
            </c:extLst>
          </c:dPt>
          <c:dPt>
            <c:idx val="2"/>
            <c:bubble3D val="0"/>
            <c:spPr>
              <a:solidFill>
                <a:schemeClr val="accent2">
                  <a:shade val="6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D2B-4853-958D-343CF5172A3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Sheet3!$B$2:$B$4</c:f>
              <c:strCache>
                <c:ptCount val="3"/>
                <c:pt idx="0">
                  <c:v>أساسية</c:v>
                </c:pt>
                <c:pt idx="1">
                  <c:v>مميزة</c:v>
                </c:pt>
                <c:pt idx="2">
                  <c:v>غير محدودة</c:v>
                </c:pt>
              </c:strCache>
            </c:strRef>
          </c:cat>
          <c:val>
            <c:numRef>
              <c:f>Sheet3!$A$2:$A$4</c:f>
              <c:numCache>
                <c:formatCode>General</c:formatCode>
                <c:ptCount val="3"/>
                <c:pt idx="0">
                  <c:v>6</c:v>
                </c:pt>
                <c:pt idx="1">
                  <c:v>5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D2B-4853-958D-343CF5172A3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alpha val="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solidFill>
                <a:schemeClr val="accent2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strRef>
              <c:f>Sheet3!$A$7:$A$11</c:f>
              <c:strCache>
                <c:ptCount val="5"/>
                <c:pt idx="0">
                  <c:v>الرياض</c:v>
                </c:pt>
                <c:pt idx="1">
                  <c:v>جدة</c:v>
                </c:pt>
                <c:pt idx="2">
                  <c:v>الدمام</c:v>
                </c:pt>
                <c:pt idx="3">
                  <c:v>المدينة</c:v>
                </c:pt>
                <c:pt idx="4">
                  <c:v>مكة</c:v>
                </c:pt>
              </c:strCache>
            </c:strRef>
          </c:cat>
          <c:val>
            <c:numRef>
              <c:f>Sheet3!$B$7:$B$11</c:f>
              <c:numCache>
                <c:formatCode>General</c:formatCode>
                <c:ptCount val="5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8B-495C-BB42-0806D632E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9723008"/>
        <c:axId val="587563136"/>
      </c:barChart>
      <c:catAx>
        <c:axId val="1509723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r-SA"/>
                  <a:t>المدينة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587563136"/>
        <c:crosses val="autoZero"/>
        <c:auto val="1"/>
        <c:lblAlgn val="ctr"/>
        <c:lblOffset val="100"/>
        <c:noMultiLvlLbl val="0"/>
      </c:catAx>
      <c:valAx>
        <c:axId val="58756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9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r-SA"/>
                  <a:t>عدد</a:t>
                </a:r>
                <a:r>
                  <a:rPr lang="ar-SA" baseline="0"/>
                  <a:t> العملاء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509723008"/>
        <c:crosses val="autoZero"/>
        <c:crossBetween val="between"/>
      </c:valAx>
      <c:spPr>
        <a:noFill/>
        <a:ln>
          <a:solidFill>
            <a:schemeClr val="accent2">
              <a:lumMod val="60000"/>
              <a:lumOff val="40000"/>
              <a:alpha val="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16372</xdr:col>
      <xdr:colOff>219075</xdr:colOff>
      <xdr:row>3</xdr:row>
      <xdr:rowOff>66675</xdr:rowOff>
    </xdr:from>
    <xdr:to>
      <xdr:col>16380</xdr:col>
      <xdr:colOff>71437</xdr:colOff>
      <xdr:row>19</xdr:row>
      <xdr:rowOff>123825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1AE7FD0B-AA2D-DC18-41F7-26F9858849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absoluteAnchor>
    <xdr:pos x="400051" y="1409699"/>
    <xdr:ext cx="5162551" cy="2895601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A42FF14-34F8-43E7-A2B9-B11457C5936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  <xdr:twoCellAnchor>
    <xdr:from>
      <xdr:col>8</xdr:col>
      <xdr:colOff>438150</xdr:colOff>
      <xdr:row>7</xdr:row>
      <xdr:rowOff>9524</xdr:rowOff>
    </xdr:from>
    <xdr:to>
      <xdr:col>14</xdr:col>
      <xdr:colOff>590550</xdr:colOff>
      <xdr:row>22</xdr:row>
      <xdr:rowOff>104774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EDF23B8-E8B3-4A9F-9AA1-0BFF171F91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447675</xdr:colOff>
      <xdr:row>22</xdr:row>
      <xdr:rowOff>114300</xdr:rowOff>
    </xdr:from>
    <xdr:to>
      <xdr:col>10</xdr:col>
      <xdr:colOff>219075</xdr:colOff>
      <xdr:row>37</xdr:row>
      <xdr:rowOff>142875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B7526FA-5EF0-4A91-82A0-FBDC0367F8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E394-D97D-4AEC-9041-72125665ECD6}">
  <sheetPr filterMode="1">
    <tabColor theme="5"/>
  </sheetPr>
  <dimension ref="A3:L26"/>
  <sheetViews>
    <sheetView rightToLeft="1" workbookViewId="0">
      <selection activeCell="C33" sqref="C33"/>
    </sheetView>
  </sheetViews>
  <sheetFormatPr defaultRowHeight="14.25" x14ac:dyDescent="0.2"/>
  <cols>
    <col min="3" max="3" width="11.625" bestFit="1" customWidth="1"/>
    <col min="4" max="4" width="21" bestFit="1" customWidth="1"/>
    <col min="5" max="5" width="11.5" bestFit="1" customWidth="1"/>
  </cols>
  <sheetData>
    <row r="3" spans="1:5" ht="18" x14ac:dyDescent="0.2">
      <c r="A3" s="1" t="s">
        <v>0</v>
      </c>
      <c r="B3" s="2"/>
      <c r="C3" s="2"/>
      <c r="D3" s="2"/>
      <c r="E3" s="2"/>
    </row>
    <row r="4" spans="1:5" x14ac:dyDescent="0.2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</row>
    <row r="5" spans="1:5" hidden="1" x14ac:dyDescent="0.2">
      <c r="A5" s="3"/>
      <c r="B5" s="3"/>
      <c r="C5" s="3"/>
      <c r="D5" s="3"/>
      <c r="E5" s="3"/>
    </row>
    <row r="6" spans="1:5" hidden="1" x14ac:dyDescent="0.2">
      <c r="A6" s="4">
        <v>1001</v>
      </c>
      <c r="B6" s="5" t="s">
        <v>6</v>
      </c>
      <c r="C6" s="6" t="s">
        <v>7</v>
      </c>
      <c r="D6" s="6">
        <v>45</v>
      </c>
      <c r="E6" s="11">
        <v>120</v>
      </c>
    </row>
    <row r="7" spans="1:5" hidden="1" x14ac:dyDescent="0.2">
      <c r="A7" s="4">
        <v>1002</v>
      </c>
      <c r="B7" s="5" t="s">
        <v>8</v>
      </c>
      <c r="C7" s="6" t="s">
        <v>9</v>
      </c>
      <c r="D7" s="6">
        <v>90</v>
      </c>
      <c r="E7" s="11">
        <v>220</v>
      </c>
    </row>
    <row r="8" spans="1:5" hidden="1" x14ac:dyDescent="0.2">
      <c r="A8" s="4">
        <v>1003</v>
      </c>
      <c r="B8" s="5" t="s">
        <v>10</v>
      </c>
      <c r="C8" s="6" t="s">
        <v>7</v>
      </c>
      <c r="D8" s="6">
        <v>35</v>
      </c>
      <c r="E8" s="11">
        <v>120</v>
      </c>
    </row>
    <row r="9" spans="1:5" hidden="1" x14ac:dyDescent="0.2">
      <c r="A9" s="4">
        <v>1004</v>
      </c>
      <c r="B9" s="5" t="s">
        <v>2</v>
      </c>
      <c r="C9" s="6" t="s">
        <v>11</v>
      </c>
      <c r="D9" s="6">
        <v>180</v>
      </c>
      <c r="E9" s="11">
        <v>350</v>
      </c>
    </row>
    <row r="10" spans="1:5" x14ac:dyDescent="0.2">
      <c r="A10" s="4">
        <v>1013</v>
      </c>
      <c r="B10" s="5" t="s">
        <v>6</v>
      </c>
      <c r="C10" s="6" t="s">
        <v>9</v>
      </c>
      <c r="D10" s="6">
        <v>110</v>
      </c>
      <c r="E10" s="11">
        <v>220</v>
      </c>
    </row>
    <row r="11" spans="1:5" hidden="1" x14ac:dyDescent="0.2">
      <c r="A11" s="4">
        <v>1006</v>
      </c>
      <c r="B11" s="5" t="s">
        <v>8</v>
      </c>
      <c r="C11" s="6" t="s">
        <v>7</v>
      </c>
      <c r="D11" s="6">
        <v>40</v>
      </c>
      <c r="E11" s="11">
        <v>120</v>
      </c>
    </row>
    <row r="12" spans="1:5" hidden="1" x14ac:dyDescent="0.2">
      <c r="A12" s="4">
        <v>1007</v>
      </c>
      <c r="B12" s="5" t="s">
        <v>12</v>
      </c>
      <c r="C12" s="6" t="s">
        <v>11</v>
      </c>
      <c r="D12" s="6">
        <v>200</v>
      </c>
      <c r="E12" s="11">
        <v>350</v>
      </c>
    </row>
    <row r="13" spans="1:5" hidden="1" x14ac:dyDescent="0.2">
      <c r="A13" s="4">
        <v>1008</v>
      </c>
      <c r="B13" s="5" t="s">
        <v>10</v>
      </c>
      <c r="C13" s="6" t="s">
        <v>9</v>
      </c>
      <c r="D13" s="6">
        <v>95</v>
      </c>
      <c r="E13" s="11">
        <v>220</v>
      </c>
    </row>
    <row r="14" spans="1:5" hidden="1" x14ac:dyDescent="0.2">
      <c r="A14" s="4">
        <v>1009</v>
      </c>
      <c r="B14" s="5" t="s">
        <v>6</v>
      </c>
      <c r="C14" s="6" t="s">
        <v>7</v>
      </c>
      <c r="D14" s="6">
        <v>30</v>
      </c>
      <c r="E14" s="11">
        <v>120</v>
      </c>
    </row>
    <row r="15" spans="1:5" hidden="1" x14ac:dyDescent="0.2">
      <c r="A15" s="4">
        <v>1010</v>
      </c>
      <c r="B15" s="5" t="s">
        <v>2</v>
      </c>
      <c r="C15" s="6" t="s">
        <v>9</v>
      </c>
      <c r="D15" s="6">
        <v>100</v>
      </c>
      <c r="E15" s="11">
        <v>220</v>
      </c>
    </row>
    <row r="16" spans="1:5" hidden="1" x14ac:dyDescent="0.2">
      <c r="A16" s="4">
        <v>1011</v>
      </c>
      <c r="B16" s="5" t="s">
        <v>8</v>
      </c>
      <c r="C16" s="6" t="s">
        <v>11</v>
      </c>
      <c r="D16" s="6">
        <v>175</v>
      </c>
      <c r="E16" s="11">
        <v>350</v>
      </c>
    </row>
    <row r="17" spans="1:12" hidden="1" x14ac:dyDescent="0.2">
      <c r="A17" s="4">
        <v>1012</v>
      </c>
      <c r="B17" s="5" t="s">
        <v>12</v>
      </c>
      <c r="C17" s="6" t="s">
        <v>7</v>
      </c>
      <c r="D17" s="6">
        <v>50</v>
      </c>
      <c r="E17" s="11">
        <v>120</v>
      </c>
    </row>
    <row r="18" spans="1:12" x14ac:dyDescent="0.2">
      <c r="A18" s="4">
        <v>1005</v>
      </c>
      <c r="B18" s="5" t="s">
        <v>6</v>
      </c>
      <c r="C18" s="6" t="s">
        <v>9</v>
      </c>
      <c r="D18" s="6">
        <v>85</v>
      </c>
      <c r="E18" s="11">
        <v>220</v>
      </c>
    </row>
    <row r="19" spans="1:12" hidden="1" x14ac:dyDescent="0.2">
      <c r="A19" s="4">
        <v>1014</v>
      </c>
      <c r="B19" s="5" t="s">
        <v>10</v>
      </c>
      <c r="C19" s="6" t="s">
        <v>11</v>
      </c>
      <c r="D19" s="6">
        <v>210</v>
      </c>
      <c r="E19" s="11">
        <v>350</v>
      </c>
    </row>
    <row r="20" spans="1:12" hidden="1" x14ac:dyDescent="0.2">
      <c r="A20" s="4">
        <v>1015</v>
      </c>
      <c r="B20" s="5" t="s">
        <v>2</v>
      </c>
      <c r="C20" s="6" t="s">
        <v>7</v>
      </c>
      <c r="D20" s="6">
        <v>38</v>
      </c>
      <c r="E20" s="11">
        <v>120</v>
      </c>
    </row>
    <row r="22" spans="1:12" ht="18" x14ac:dyDescent="0.25">
      <c r="A22" s="8" t="s">
        <v>13</v>
      </c>
      <c r="B22" s="9"/>
      <c r="C22" s="9"/>
      <c r="D22" s="10"/>
      <c r="E22" s="13">
        <f>COUNTIF(C6:C20,C6)</f>
        <v>6</v>
      </c>
      <c r="G22" s="20" t="s">
        <v>18</v>
      </c>
      <c r="H22" s="19"/>
      <c r="I22" s="19"/>
      <c r="J22" s="19"/>
      <c r="K22" s="19"/>
      <c r="L22" s="19"/>
    </row>
    <row r="23" spans="1:12" x14ac:dyDescent="0.2">
      <c r="A23" s="8" t="s">
        <v>14</v>
      </c>
      <c r="B23" s="9"/>
      <c r="C23" s="9"/>
      <c r="D23" s="10"/>
      <c r="E23" s="12">
        <f>AVERAGE(value)</f>
        <v>214.66666666666666</v>
      </c>
      <c r="G23" s="16" t="s">
        <v>19</v>
      </c>
      <c r="H23" s="17"/>
      <c r="I23" s="17"/>
      <c r="J23" s="18"/>
      <c r="K23" s="14" t="s">
        <v>7</v>
      </c>
      <c r="L23" s="15"/>
    </row>
    <row r="24" spans="1:12" x14ac:dyDescent="0.2">
      <c r="A24" s="8" t="s">
        <v>15</v>
      </c>
      <c r="B24" s="9"/>
      <c r="C24" s="9"/>
      <c r="D24" s="10"/>
      <c r="E24" s="7">
        <f>MAX(consumption)</f>
        <v>210</v>
      </c>
      <c r="G24" s="16" t="s">
        <v>20</v>
      </c>
      <c r="H24" s="17"/>
      <c r="I24" s="17"/>
      <c r="J24" s="18"/>
      <c r="K24" s="14">
        <v>1014</v>
      </c>
      <c r="L24" s="15"/>
    </row>
    <row r="25" spans="1:12" x14ac:dyDescent="0.2">
      <c r="A25" s="8" t="s">
        <v>16</v>
      </c>
      <c r="B25" s="9"/>
      <c r="C25" s="9"/>
      <c r="D25" s="10"/>
      <c r="E25" s="7">
        <f>MIN(consumption)</f>
        <v>30</v>
      </c>
      <c r="G25" s="16" t="s">
        <v>21</v>
      </c>
      <c r="H25" s="17"/>
      <c r="I25" s="17"/>
      <c r="J25" s="18"/>
      <c r="K25" s="21">
        <v>215</v>
      </c>
      <c r="L25" s="22"/>
    </row>
    <row r="26" spans="1:12" x14ac:dyDescent="0.2">
      <c r="A26" s="8" t="s">
        <v>17</v>
      </c>
      <c r="B26" s="9"/>
      <c r="C26" s="9"/>
      <c r="D26" s="10"/>
      <c r="E26" s="7">
        <f>SUM(consumption)</f>
        <v>1483</v>
      </c>
      <c r="G26" s="16" t="s">
        <v>22</v>
      </c>
      <c r="H26" s="17"/>
      <c r="I26" s="17"/>
      <c r="J26" s="18"/>
      <c r="K26" s="14" t="s">
        <v>6</v>
      </c>
      <c r="L26" s="15"/>
    </row>
  </sheetData>
  <autoFilter ref="A4:E20" xr:uid="{BA07E394-D97D-4AEC-9041-72125665ECD6}">
    <filterColumn colId="1">
      <filters>
        <filter val="الرياض"/>
      </filters>
    </filterColumn>
    <filterColumn colId="2">
      <filters>
        <filter val="مميزة"/>
      </filters>
    </filterColumn>
  </autoFilter>
  <sortState xmlns:xlrd2="http://schemas.microsoft.com/office/spreadsheetml/2017/richdata2" ref="A10:E18">
    <sortCondition descending="1" ref="D6:D18"/>
  </sortState>
  <mergeCells count="20">
    <mergeCell ref="K23:L23"/>
    <mergeCell ref="K24:L24"/>
    <mergeCell ref="K25:L25"/>
    <mergeCell ref="K26:L26"/>
    <mergeCell ref="A22:D22"/>
    <mergeCell ref="A23:D23"/>
    <mergeCell ref="A24:D24"/>
    <mergeCell ref="A25:D25"/>
    <mergeCell ref="A26:D26"/>
    <mergeCell ref="G22:L22"/>
    <mergeCell ref="G23:J23"/>
    <mergeCell ref="G24:J24"/>
    <mergeCell ref="G25:J25"/>
    <mergeCell ref="G26:J26"/>
    <mergeCell ref="A3:E3"/>
    <mergeCell ref="A4:A5"/>
    <mergeCell ref="B4:B5"/>
    <mergeCell ref="C4:C5"/>
    <mergeCell ref="D4:D5"/>
    <mergeCell ref="E4:E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84824-F55D-4BC9-BB6A-EFB23CAC9614}">
  <dimension ref="A1:B11"/>
  <sheetViews>
    <sheetView rightToLeft="1" workbookViewId="0">
      <selection activeCell="D2" sqref="D2"/>
    </sheetView>
  </sheetViews>
  <sheetFormatPr defaultRowHeight="14.25" x14ac:dyDescent="0.2"/>
  <cols>
    <col min="2" max="2" width="13.375" customWidth="1"/>
  </cols>
  <sheetData>
    <row r="1" spans="1:2" x14ac:dyDescent="0.2">
      <c r="A1" s="23" t="s">
        <v>23</v>
      </c>
      <c r="B1" s="23"/>
    </row>
    <row r="2" spans="1:2" x14ac:dyDescent="0.2">
      <c r="A2" s="7">
        <f>COUNTIF(projcet!C6:C20,projcet!C6)</f>
        <v>6</v>
      </c>
      <c r="B2" s="7" t="s">
        <v>7</v>
      </c>
    </row>
    <row r="3" spans="1:2" x14ac:dyDescent="0.2">
      <c r="A3" s="7">
        <f>COUNTIF(projcet!C6:C20,projcet!C7)</f>
        <v>5</v>
      </c>
      <c r="B3" s="7" t="s">
        <v>9</v>
      </c>
    </row>
    <row r="4" spans="1:2" x14ac:dyDescent="0.2">
      <c r="A4" s="7">
        <f>COUNTIF(projcet!C6:C20,projcet!C9)</f>
        <v>4</v>
      </c>
      <c r="B4" s="7" t="s">
        <v>11</v>
      </c>
    </row>
    <row r="6" spans="1:2" ht="29.25" customHeight="1" x14ac:dyDescent="0.2">
      <c r="A6" s="24" t="s">
        <v>24</v>
      </c>
      <c r="B6" s="24"/>
    </row>
    <row r="7" spans="1:2" x14ac:dyDescent="0.2">
      <c r="A7" t="str" cm="1">
        <f t="array" ref="A7:A11">_xlfn.UNIQUE(projcet!B6:B20)</f>
        <v>الرياض</v>
      </c>
      <c r="B7">
        <f>COUNTIF(projcet!B6:B20,projcet!B6)</f>
        <v>4</v>
      </c>
    </row>
    <row r="8" spans="1:2" x14ac:dyDescent="0.2">
      <c r="A8" t="str">
        <v>جدة</v>
      </c>
      <c r="B8">
        <f>COUNTIF(projcet!B7:B21,projcet!B8)</f>
        <v>3</v>
      </c>
    </row>
    <row r="9" spans="1:2" x14ac:dyDescent="0.2">
      <c r="A9" t="str">
        <v>الدمام</v>
      </c>
      <c r="B9">
        <f>COUNTIF(projcet!B8:B22,projcet!B9)</f>
        <v>3</v>
      </c>
    </row>
    <row r="10" spans="1:2" x14ac:dyDescent="0.2">
      <c r="A10" t="str">
        <v>المدينة</v>
      </c>
      <c r="B10">
        <f>COUNTIF(projcet!B9:B23,projcet!B10)</f>
        <v>3</v>
      </c>
    </row>
    <row r="11" spans="1:2" x14ac:dyDescent="0.2">
      <c r="A11" t="str">
        <v>مكة</v>
      </c>
      <c r="B11">
        <f>COUNTIF(projcet!B10:B24,projcet!B11)</f>
        <v>2</v>
      </c>
    </row>
  </sheetData>
  <mergeCells count="2">
    <mergeCell ref="A1:B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58725-E15A-4C20-B74F-055EAB38E45E}">
  <sheetPr>
    <tabColor theme="5" tint="0.39997558519241921"/>
  </sheetPr>
  <dimension ref="A1:M5"/>
  <sheetViews>
    <sheetView showGridLines="0" showRowColHeaders="0" rightToLeft="1" tabSelected="1" topLeftCell="A18" workbookViewId="0">
      <selection activeCell="G6" sqref="G6"/>
    </sheetView>
  </sheetViews>
  <sheetFormatPr defaultRowHeight="14.25" x14ac:dyDescent="0.2"/>
  <sheetData>
    <row r="1" spans="1:13" x14ac:dyDescent="0.2">
      <c r="L1" s="25"/>
    </row>
    <row r="5" spans="1:13" ht="34.5" x14ac:dyDescent="0.45">
      <c r="A5" s="26" t="s">
        <v>0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</row>
  </sheetData>
  <mergeCells count="1">
    <mergeCell ref="A5:M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projcet</vt:lpstr>
      <vt:lpstr>Sheet3</vt:lpstr>
      <vt:lpstr>dasbord</vt:lpstr>
      <vt:lpstr>consumption</vt:lpstr>
      <vt:lpstr>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 patwa</dc:creator>
  <cp:lastModifiedBy>fatima patwa</cp:lastModifiedBy>
  <dcterms:created xsi:type="dcterms:W3CDTF">2026-08-21T15:07:11Z</dcterms:created>
  <dcterms:modified xsi:type="dcterms:W3CDTF">2026-08-21T17:32:03Z</dcterms:modified>
</cp:coreProperties>
</file>